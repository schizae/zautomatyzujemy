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Kalkulator korzyści" sheetId="2" r:id="rId2"/>
    <sheet name="Wycena" sheetId="3" r:id="rId3"/>
    <sheet name="Lejek CRM" sheetId="4" r:id="rId4"/>
    <sheet name="Discovery" sheetId="5" r:id="rId5"/>
    <sheet name="Odbiór" sheetId="6" r:id="rId6"/>
  </sheets>
  <definedNames>
    <definedName name="_xlnm._FilterDatabase" localSheetId="3" hidden="1">'Lejek CRM'!$B$4:$L$34</definedName>
    <definedName name="_xlnm.Print_Area" localSheetId="4">Discovery!$B$1:$D$20</definedName>
    <definedName name="_xlnm.Print_Area" localSheetId="1">'Kalkulator korzyści'!$B$1:$D$44</definedName>
    <definedName name="_xlnm.Print_Area" localSheetId="3">'Lejek CRM'!$B$1:$L$34</definedName>
    <definedName name="_xlnm.Print_Area" localSheetId="5">Odbiór!$B$1:$E$23</definedName>
    <definedName name="_xlnm.Print_Area" localSheetId="0">START!$B$1:$D$15</definedName>
    <definedName name="_xlnm.Print_Area" localSheetId="2">Wycena!$B$1:$D$27</definedName>
  </definedNames>
  <calcPr calcId="124519" fullCalcOnLoad="1"/>
</workbook>
</file>

<file path=xl/sharedStrings.xml><?xml version="1.0" encoding="utf-8"?>
<sst xmlns="http://schemas.openxmlformats.org/spreadsheetml/2006/main" count="171" uniqueCount="169">
  <si>
    <t>START</t>
  </si>
  <si>
    <t>Zautomatyzujemy.pl — roboczy zestaw do rozmowy, wyceny i prowadzenia wdrożenia.</t>
  </si>
  <si>
    <t>1. Discovery</t>
  </si>
  <si>
    <t>Zapisz proces, jego skalę, wyjątki i właściciela. Poproś o zanonimizowaną próbkę. Ustal źródła liczb.</t>
  </si>
  <si>
    <t>2. Kalkulator korzyści</t>
  </si>
  <si>
    <t>Zastąp wszystkie HIPOTETYCZNE liczby danymi klienta. Błękitne komórki są do edycji. Komórki bez błękitu zawierają wyniki lub instrukcje.</t>
  </si>
  <si>
    <t>3. Wycena</t>
  </si>
  <si>
    <t>Oszacuj pracę po potwierdzeniu zakresu. Podatek jest opcjonalnym wejściem. Kalkulator korzyści i wycena są niezależne: przenieś uzgodnione koszty ręcznie.</t>
  </si>
  <si>
    <t>4. Lejek CRM</t>
  </si>
  <si>
    <t>Wpisuj rzeczywiste firmy. Każda otwarta szansa ma następny krok i datę. Zapisz źródło relacji oraz podstawę kontaktu, jeśli dotyczy.</t>
  </si>
  <si>
    <t>5. Odbiór</t>
  </si>
  <si>
    <t>Uzgodnij kryteria przed budową. Przy odbiorze dodaj dowody i decyzję osoby uprawnionej. Samo zaznaczenie listy nie zastępuje akceptacji klienta.</t>
  </si>
  <si>
    <t>Dane i założenia</t>
  </si>
  <si>
    <t>Wszystkie liczby początkowe w kalkulatorze i wycenie są HIPOTETYCZNE, nie są cennikiem ani obietnicą wyniku. Zero to świadome założenie; puste wymagane pole wstrzymuje wynik.</t>
  </si>
  <si>
    <t>Czas a pieniądze</t>
  </si>
  <si>
    <t>Uwolnione godziny oznaczają dostępną pojemność zespołu. Korzyść gotówkowa wymaga faktycznie unikniętego wydatku, np. nadgodzin. Udział zamieniony na gotówkę domyślnie wynosi 0%.</t>
  </si>
  <si>
    <t>Dodatkowa marża</t>
  </si>
  <si>
    <t>Osobny wariant uwzględnia marżę po kosztach realizacji. Nie wpisuj przychodu. Nie doliczaj ponownie wartości godzin lub redukcji kosztów ujętych w bazie.</t>
  </si>
  <si>
    <t>Horyzont i kwoty</t>
  </si>
  <si>
    <t>Model zakłada stały miesięczny wolumen i korzyści od pierwszego miesiąca po uruchomieniu. Nie modeluje rozruchu, dyskonta ani opóźnień płatności. Koszty podawaj na tej samej podstawie, z nieodliczalnymi podatkami, jeżeli występują.</t>
  </si>
  <si>
    <t>Zapisywanie</t>
  </si>
  <si>
    <t>Zapisz kopię pliku dla konkretnego klienta. Po zmianach otwórz w Excelu lub zgodnym arkuszu z automatycznym przeliczaniem. Nie nadpisuj formuł.</t>
  </si>
  <si>
    <t>Kalkulator korzyści</t>
  </si>
  <si>
    <t>HIPOTETYCZNY przykład. PLN. Wypełnij C15:C26; zero jest wartością, puste pole zatrzymuje wynik.</t>
  </si>
  <si>
    <t>Wynik do rozmowy</t>
  </si>
  <si>
    <t>Uwolniony czas (godz./mies.)</t>
  </si>
  <si>
    <t>Wartość czasu (zł/mies.)</t>
  </si>
  <si>
    <t>Korzyść gotówkowa netto (zł/mies.)</t>
  </si>
  <si>
    <t>ROI gotówkowe w horyzoncie</t>
  </si>
  <si>
    <t>Zwrot wdrożenia (miesiące)</t>
  </si>
  <si>
    <t>Wynik z dodatkową marżą (zł/mies.)</t>
  </si>
  <si>
    <t>ROI z dodatkową marżą</t>
  </si>
  <si>
    <t>Założenia — wszystkie liczby HIPOTETYCZNE</t>
  </si>
  <si>
    <t>Zadania / miesiąc</t>
  </si>
  <si>
    <t>Powtarzalne wykonania tego samego procesu.</t>
  </si>
  <si>
    <t>Minuty przed / zadanie</t>
  </si>
  <si>
    <t>Średnia z pomiaru, wraz z obsługą wyjątków.</t>
  </si>
  <si>
    <t>Minuty po / zadanie</t>
  </si>
  <si>
    <t>Uwzględnij kontrolę człowieka i utrzymujące się wyjątki.</t>
  </si>
  <si>
    <t>Udział zadań automatyzowanych</t>
  </si>
  <si>
    <t>0–100%. Pozostałe zadania nie zmieniają czasu.</t>
  </si>
  <si>
    <t>Pełny koszt godziny (zł)</t>
  </si>
  <si>
    <t>Koszt pracodawcy lub realny koszt zewnętrzny.</t>
  </si>
  <si>
    <t>Udział czasu zamieniony na gotówkę</t>
  </si>
  <si>
    <t>0–100%. Bez potwierdzonej redukcji wydatków zostaw 0%.</t>
  </si>
  <si>
    <t>Koszt wdrożenia (zł)</t>
  </si>
  <si>
    <t>Jednorazowy nakład, wraz z pracą klienta, jeśli wyceniona.</t>
  </si>
  <si>
    <t>Opieka miesięczna (zł)</t>
  </si>
  <si>
    <t>Koszt stały utrzymania.</t>
  </si>
  <si>
    <t>Narzędzia miesięcznie (zł)</t>
  </si>
  <si>
    <t>Licencje, API i infrastruktura.</t>
  </si>
  <si>
    <t>Horyzont (miesiące)</t>
  </si>
  <si>
    <t>Dodatnia liczba całkowita po uruchomieniu.</t>
  </si>
  <si>
    <t>Dodatkowa marża miesięczna (zł)</t>
  </si>
  <si>
    <t>Po kosztach realizacji, bez korzyści gotówkowej ujętej wyżej.</t>
  </si>
  <si>
    <t>Realizacja dodatkowej marży</t>
  </si>
  <si>
    <t>Ostrożny udział 0–100%. Dotyczy tylko dodatkowej marży.</t>
  </si>
  <si>
    <t>Obliczenia i interpretacja</t>
  </si>
  <si>
    <t>Stan założeń</t>
  </si>
  <si>
    <t>Jeśli wklejasz dane, sprawdź również zakresy procentowe. Walidacja wklejania zależy od aplikacji.</t>
  </si>
  <si>
    <t>Uwolnione godziny / miesiąc</t>
  </si>
  <si>
    <t>Wartość uwolnionego czasu</t>
  </si>
  <si>
    <t>Redukcja wydatków / miesiąc</t>
  </si>
  <si>
    <t>Koszty stałe / miesiąc</t>
  </si>
  <si>
    <t>Korzyść gotówkowa netto / miesiąc</t>
  </si>
  <si>
    <t>Całkowity koszt w horyzoncie</t>
  </si>
  <si>
    <t>Wynik gotówkowy w horyzoncie</t>
  </si>
  <si>
    <t>Marża dodatkowa po korekcie</t>
  </si>
  <si>
    <t>Wynik z marżą / miesiąc</t>
  </si>
  <si>
    <t>Wynik z marżą w horyzoncie</t>
  </si>
  <si>
    <t>Próg: redukcja wydatków / miesiąc</t>
  </si>
  <si>
    <t>Wymagana redukcja wydatków, aby odzyskać wdrożenie w zadanym horyzoncie. Wariant bazowy.</t>
  </si>
  <si>
    <t>Wycena pojemności zespołu. Nie dodawaj do wyniku gotówkowego.</t>
  </si>
  <si>
    <t>(Redukcja wydatków minus wszystkie koszty) / wszystkie koszty. Koszt = 0 oznacza n.d.</t>
  </si>
  <si>
    <t>Stałe przepływy od uruchomienia. Zwrot może wypaść poza horyzontem. Przy wyniku ≤ 0: brak zwrotu.</t>
  </si>
  <si>
    <t>Wycena</t>
  </si>
  <si>
    <t>HIPOTETYCZNY przykład. Uzupełnij własne godziny, stawkę, koszty i opcjonalną stawkę podatku.</t>
  </si>
  <si>
    <t>Nakład pracy i założenia</t>
  </si>
  <si>
    <t>Analiza (godz.)</t>
  </si>
  <si>
    <t>Budowa (godz.)</t>
  </si>
  <si>
    <t>Testy (godz.)</t>
  </si>
  <si>
    <t>Szkolenie i przekazanie (godz.)</t>
  </si>
  <si>
    <t>Bufor czasu</t>
  </si>
  <si>
    <t>Stawka sprzedażowa (zł/godz.)</t>
  </si>
  <si>
    <t>Koszty jednorazowe poza pracą (zł)</t>
  </si>
  <si>
    <t>Podatek doliczany do ceny — opcjonalny</t>
  </si>
  <si>
    <t>Pozostaw puste, gdy nie dotyczy. To nie jest założenie stawki VAT.</t>
  </si>
  <si>
    <t>Kalkulacja ceny</t>
  </si>
  <si>
    <t>Godziny przed buforem</t>
  </si>
  <si>
    <t>Godziny z buforem</t>
  </si>
  <si>
    <t>Cena przed podatkiem (zł)</t>
  </si>
  <si>
    <t>Podatek doliczony (zł)</t>
  </si>
  <si>
    <t>Cena z zadanym podatkiem (zł)</t>
  </si>
  <si>
    <t>Opieka / miesiąc (zł)</t>
  </si>
  <si>
    <t>Uzgodnij zakres, limit godzin, czas reakcji i prace dodatkowe.</t>
  </si>
  <si>
    <t>Narzędzia / miesiąc (zł)</t>
  </si>
  <si>
    <t>Wskaż kto płaci licencje i opłaty za zużycie.</t>
  </si>
  <si>
    <t>Zakres i wyłączenia</t>
  </si>
  <si>
    <t>Dopisz konkretne procesy, integracje, limity i wyłączenia.</t>
  </si>
  <si>
    <t>Lejek CRM</t>
  </si>
  <si>
    <t>Pusty rejestr 30 szans. Dodawaj wyłącznie rzeczywiste kontakty i ustalony następny krok.</t>
  </si>
  <si>
    <t>Firma</t>
  </si>
  <si>
    <t>Branża</t>
  </si>
  <si>
    <t>Osoba / rola</t>
  </si>
  <si>
    <t>Źródło relacji / zgody</t>
  </si>
  <si>
    <t>Problem</t>
  </si>
  <si>
    <t>Wolumen / miesiąc</t>
  </si>
  <si>
    <t>Etap</t>
  </si>
  <si>
    <t>Wartość (zł)</t>
  </si>
  <si>
    <t>Następny krok</t>
  </si>
  <si>
    <t>Data kroku</t>
  </si>
  <si>
    <t>Wynik / powód</t>
  </si>
  <si>
    <t>Discovery</t>
  </si>
  <si>
    <t>Uzupełnij podczas rozmowy. Ustal pomiar bazowy przed obietnicą efektu.</t>
  </si>
  <si>
    <t>Firma i rozmówca</t>
  </si>
  <si>
    <t>Nazwa, rola, data rozmowy.</t>
  </si>
  <si>
    <t>Właściciel procesu</t>
  </si>
  <si>
    <t>Kto odpowiada za wynik i akceptuje zmianę?</t>
  </si>
  <si>
    <t>Proces do usprawnienia</t>
  </si>
  <si>
    <t>Co go uruchamia, jakie ma wejście i oczekiwany wynik?</t>
  </si>
  <si>
    <t>Problem i konsekwencja</t>
  </si>
  <si>
    <t>Co boli i jaki ma wpływ na firmę?</t>
  </si>
  <si>
    <t>Wolumen i sezonowość</t>
  </si>
  <si>
    <t>Ile przypadków miesięcznie, w szczycie i w miesiącu spokojnym?</t>
  </si>
  <si>
    <t>Czas bazowy</t>
  </si>
  <si>
    <t>Pomiar na ilu przypadkach? Średnia, rozrzut, źródło pomiaru.</t>
  </si>
  <si>
    <t>Wyjątki i błędy</t>
  </si>
  <si>
    <t>Jak często wymagają ręcznej obsługi? Kto ją wykonuje?</t>
  </si>
  <si>
    <t>Systemy i dostęp</t>
  </si>
  <si>
    <t>Aplikacje, API, dokumentacja, testowe konto i właściciel dostępu.</t>
  </si>
  <si>
    <t>Dane i poufność</t>
  </si>
  <si>
    <t>Jakie dane są konieczne, gdzie mogą trafić, czas przechowywania?</t>
  </si>
  <si>
    <t>Próbka do analizy</t>
  </si>
  <si>
    <t>Uzgodnij zanonimizowany przykład wejścia i poprawnego wyniku.</t>
  </si>
  <si>
    <t>Cel i pomiar sukcesu</t>
  </si>
  <si>
    <t>Miernik, wartość bazowa, cel, metoda i termin pomiaru.</t>
  </si>
  <si>
    <t>Ryzyka i ograniczenia</t>
  </si>
  <si>
    <t>Reguły biznesowe, ręczna kontrola, cofnięcie zmiany.</t>
  </si>
  <si>
    <t>Zakres pilota</t>
  </si>
  <si>
    <t>Jeden proces, systemy, wyjątki, limit wolumenu, wyłączenia.</t>
  </si>
  <si>
    <t>Decyzja i budżet</t>
  </si>
  <si>
    <t>Kto decyduje, jaka ścieżka zakupu, budżet i termin?</t>
  </si>
  <si>
    <t>Odbiór i odpowiedzialności</t>
  </si>
  <si>
    <t>Kto testuje, akceptuje i utrzymuje proces?</t>
  </si>
  <si>
    <t>Konkretna czynność, właściciel i data.</t>
  </si>
  <si>
    <t>Odbiór</t>
  </si>
  <si>
    <t>Uzgodnij kryteria przed pracą. Każda pozycja wymaga wyniku testu lub uzasadnienia „Nie dotyczy”.</t>
  </si>
  <si>
    <t>Kryterium</t>
  </si>
  <si>
    <t>Status</t>
  </si>
  <si>
    <t>Dowód / uwagi / uzasadnienie</t>
  </si>
  <si>
    <t>Właściciel / data</t>
  </si>
  <si>
    <t>Zakres zgodny z uzgodnieniem</t>
  </si>
  <si>
    <t>Scenariusz standardowy przeszedł test</t>
  </si>
  <si>
    <t>Uzgodnione wyjątki obsłużone</t>
  </si>
  <si>
    <t>Błędne dane nie psują procesu</t>
  </si>
  <si>
    <t>Powtórzenie nie tworzy duplikatów</t>
  </si>
  <si>
    <t>Alert błędu trafia do właściciela</t>
  </si>
  <si>
    <t>Ręczne przejęcie procesu sprawdzone</t>
  </si>
  <si>
    <t>Dostępy i sekrety przekazane bezpiecznie</t>
  </si>
  <si>
    <t>Logi i retencja zgodne z ustaleniem</t>
  </si>
  <si>
    <t>Pomiar celu wykonany i opisany</t>
  </si>
  <si>
    <t>Instrukcja operacyjna przekazana</t>
  </si>
  <si>
    <t>Osoba klienta przeszkolona</t>
  </si>
  <si>
    <t>Opieka i odpowiedzialności ustalone</t>
  </si>
  <si>
    <t>Otwarta lista usterek uzgodniona</t>
  </si>
  <si>
    <t>Decyzja odbioru</t>
  </si>
  <si>
    <t>Akceptujący po stronie klienta</t>
  </si>
  <si>
    <t>Data decyzji</t>
  </si>
  <si>
    <t>Warunki / pozostałe działania</t>
  </si>
</sst>
</file>

<file path=xl/styles.xml><?xml version="1.0" encoding="utf-8"?>
<styleSheet xmlns="http://schemas.openxmlformats.org/spreadsheetml/2006/main">
  <numFmts count="6">
    <numFmt numFmtId="164" formatCode="#,##0.0;(#,##0.0);0.0"/>
    <numFmt numFmtId="165" formatCode="#,##0&quot; zł&quot;;(#,##0)&quot; zł&quot;;0&quot; zł&quot;"/>
    <numFmt numFmtId="166" formatCode="0.0%;(0.0%);0.0%"/>
    <numFmt numFmtId="167" formatCode="#,##0.0"/>
    <numFmt numFmtId="168" formatCode="0.0%"/>
    <numFmt numFmtId="169" formatCode="dd.mm.yyyy"/>
  </numFmts>
  <fonts count="6">
    <font>
      <sz val="11"/>
      <color theme="1"/>
      <name val="Calibri"/>
      <family val="2"/>
      <scheme val="minor"/>
    </font>
    <font>
      <sz val="11"/>
      <color rgb="FF151719"/>
      <name val="Arial"/>
      <family val="2"/>
    </font>
    <font>
      <b/>
      <sz val="17"/>
      <color rgb="FF151719"/>
      <name val="Arial"/>
      <family val="2"/>
    </font>
    <font>
      <sz val="11"/>
      <color rgb="FF5B6065"/>
      <name val="Arial"/>
      <family val="2"/>
    </font>
    <font>
      <b/>
      <sz val="11"/>
      <color rgb="FFFFFFFF"/>
      <name val="Arial"/>
      <family val="2"/>
    </font>
    <font>
      <sz val="11"/>
      <color rgb="FF14528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2ED"/>
        <bgColor indexed="64"/>
      </patternFill>
    </fill>
    <fill>
      <patternFill patternType="solid">
        <fgColor rgb="FF151719"/>
        <bgColor indexed="64"/>
      </patternFill>
    </fill>
    <fill>
      <patternFill patternType="solid">
        <fgColor rgb="FFE7F1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  <xf numFmtId="167" fontId="5" fillId="4" borderId="0" xfId="0" applyNumberFormat="1" applyFont="1" applyFill="1" applyAlignment="1">
      <alignment vertical="center"/>
    </xf>
    <xf numFmtId="168" fontId="5" fillId="4" borderId="0" xfId="0" applyNumberFormat="1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169" fontId="5" fillId="4" borderId="0" xfId="0" applyNumberFormat="1" applyFont="1" applyFill="1" applyAlignment="1">
      <alignment vertical="center"/>
    </xf>
  </cellXfs>
  <cellStyles count="1">
    <cellStyle name="Normal" xfId="0" builtinId="0"/>
  </cellStyles>
  <dxfs count="1">
    <dxf>
      <font>
        <b/>
        <color rgb="FFC93820"/>
      </font>
      <fill>
        <patternFill>
          <bgColor rgb="FFFBE0D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93820"/>
    <pageSetUpPr fitToPage="1"/>
  </sheetPr>
  <dimension ref="A1:D29"/>
  <sheetViews>
    <sheetView showGridLines="0" tabSelected="1" zoomScale="90" zoomScaleNormal="90" workbookViewId="0"/>
  </sheetViews>
  <sheetFormatPr defaultRowHeight="15"/>
  <cols>
    <col min="1" max="1" width="3.7109375" customWidth="1"/>
    <col min="2" max="2" width="49.7109375" customWidth="1"/>
    <col min="3" max="3" width="25.7109375" customWidth="1"/>
    <col min="4" max="4" width="65.7109375" customWidth="1"/>
  </cols>
  <sheetData>
    <row r="1" spans="2:4" ht="30" customHeight="1">
      <c r="B1" s="1"/>
      <c r="C1" s="1"/>
      <c r="D1" s="1"/>
    </row>
    <row r="2" spans="2:4" ht="32" customHeight="1">
      <c r="B2" s="2" t="s">
        <v>0</v>
      </c>
      <c r="C2" s="1"/>
      <c r="D2" s="1"/>
    </row>
    <row r="3" spans="2:4" ht="46" customHeight="1">
      <c r="B3" s="3" t="s">
        <v>1</v>
      </c>
      <c r="C3" s="1"/>
      <c r="D3" s="1"/>
    </row>
    <row r="4" spans="2:4" ht="30" customHeight="1">
      <c r="B4" s="1"/>
      <c r="C4" s="1"/>
      <c r="D4" s="1"/>
    </row>
    <row r="5" spans="2:4" ht="66" customHeight="1">
      <c r="B5" s="1" t="s">
        <v>2</v>
      </c>
      <c r="C5" s="1"/>
      <c r="D5" s="4" t="s">
        <v>3</v>
      </c>
    </row>
    <row r="6" spans="2:4" ht="66" customHeight="1">
      <c r="B6" s="1" t="s">
        <v>4</v>
      </c>
      <c r="C6" s="1"/>
      <c r="D6" s="4" t="s">
        <v>5</v>
      </c>
    </row>
    <row r="7" spans="2:4" ht="66" customHeight="1">
      <c r="B7" s="1" t="s">
        <v>6</v>
      </c>
      <c r="C7" s="1"/>
      <c r="D7" s="4" t="s">
        <v>7</v>
      </c>
    </row>
    <row r="8" spans="2:4" ht="66" customHeight="1">
      <c r="B8" s="1" t="s">
        <v>8</v>
      </c>
      <c r="C8" s="1"/>
      <c r="D8" s="4" t="s">
        <v>9</v>
      </c>
    </row>
    <row r="9" spans="2:4" ht="66" customHeight="1">
      <c r="B9" s="1" t="s">
        <v>10</v>
      </c>
      <c r="C9" s="1"/>
      <c r="D9" s="4" t="s">
        <v>11</v>
      </c>
    </row>
    <row r="10" spans="2:4" ht="66" customHeight="1">
      <c r="B10" s="1" t="s">
        <v>12</v>
      </c>
      <c r="C10" s="1"/>
      <c r="D10" s="4" t="s">
        <v>13</v>
      </c>
    </row>
    <row r="11" spans="2:4" ht="66" customHeight="1">
      <c r="B11" s="1" t="s">
        <v>14</v>
      </c>
      <c r="C11" s="1"/>
      <c r="D11" s="4" t="s">
        <v>15</v>
      </c>
    </row>
    <row r="12" spans="2:4" ht="66" customHeight="1">
      <c r="B12" s="1" t="s">
        <v>16</v>
      </c>
      <c r="C12" s="1"/>
      <c r="D12" s="4" t="s">
        <v>17</v>
      </c>
    </row>
    <row r="13" spans="2:4" ht="66" customHeight="1">
      <c r="B13" s="1" t="s">
        <v>18</v>
      </c>
      <c r="C13" s="1"/>
      <c r="D13" s="4" t="s">
        <v>19</v>
      </c>
    </row>
    <row r="14" spans="2:4" ht="66" customHeight="1">
      <c r="B14" s="1" t="s">
        <v>20</v>
      </c>
      <c r="C14" s="1"/>
      <c r="D14" s="4" t="s">
        <v>21</v>
      </c>
    </row>
    <row r="15" spans="2:4" ht="30" customHeight="1">
      <c r="B15" s="1"/>
      <c r="C15" s="1"/>
      <c r="D15" s="1"/>
    </row>
    <row r="16" spans="2:4" ht="30" customHeight="1">
      <c r="B16" s="1"/>
      <c r="C16" s="1"/>
      <c r="D16" s="1"/>
    </row>
    <row r="17" spans="2:4" ht="30" customHeight="1">
      <c r="B17" s="1"/>
      <c r="C17" s="1"/>
      <c r="D17" s="1"/>
    </row>
    <row r="18" spans="2:4" ht="30" customHeight="1">
      <c r="B18" s="1"/>
      <c r="C18" s="1"/>
      <c r="D18" s="1"/>
    </row>
    <row r="19" spans="2:4" ht="30" customHeight="1">
      <c r="B19" s="1"/>
      <c r="C19" s="1"/>
      <c r="D19" s="1"/>
    </row>
    <row r="20" spans="2:4" ht="30" customHeight="1">
      <c r="B20" s="1"/>
      <c r="C20" s="1"/>
      <c r="D20" s="1"/>
    </row>
    <row r="21" spans="2:4" ht="30" customHeight="1">
      <c r="B21" s="1"/>
      <c r="C21" s="1"/>
      <c r="D21" s="1"/>
    </row>
    <row r="22" spans="2:4" ht="30" customHeight="1">
      <c r="B22" s="1"/>
      <c r="C22" s="1"/>
      <c r="D22" s="1"/>
    </row>
    <row r="23" spans="2:4" ht="30" customHeight="1">
      <c r="B23" s="1"/>
      <c r="C23" s="1"/>
      <c r="D23" s="1"/>
    </row>
    <row r="24" spans="2:4" ht="30" customHeight="1">
      <c r="B24" s="1"/>
      <c r="C24" s="1"/>
      <c r="D24" s="1"/>
    </row>
    <row r="25" spans="2:4" ht="30" customHeight="1">
      <c r="B25" s="1"/>
      <c r="C25" s="1"/>
      <c r="D25" s="1"/>
    </row>
    <row r="26" spans="2:4" ht="30" customHeight="1">
      <c r="B26" s="1"/>
      <c r="C26" s="1"/>
      <c r="D26" s="1"/>
    </row>
    <row r="27" spans="2:4" ht="30" customHeight="1">
      <c r="B27" s="1"/>
      <c r="C27" s="1"/>
      <c r="D27" s="1"/>
    </row>
    <row r="28" spans="2:4" ht="30" customHeight="1">
      <c r="B28" s="1"/>
      <c r="C28" s="1"/>
      <c r="D28" s="1"/>
    </row>
    <row r="29" spans="2:4" ht="30" customHeight="1">
      <c r="B29" s="1"/>
      <c r="C29" s="1"/>
      <c r="D29" s="1"/>
    </row>
  </sheetData>
  <pageMargins left="0.3" right="0.3" top="0.4" bottom="0.4" header="0.3" footer="0.3"/>
  <pageSetup paperSize="9" fitToHeight="0" orientation="landscape"/>
  <headerFooter>
    <oddFooter>&amp;LZautomatyzujemy.pl&amp;R&amp;N /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51719"/>
    <pageSetUpPr fitToPage="1"/>
  </sheetPr>
  <dimension ref="A1:D44"/>
  <sheetViews>
    <sheetView showGridLines="0" zoomScale="90" zoomScaleNormal="9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/>
    </sheetView>
  </sheetViews>
  <sheetFormatPr defaultRowHeight="15"/>
  <cols>
    <col min="1" max="1" width="3.7109375" customWidth="1"/>
    <col min="2" max="2" width="49.7109375" customWidth="1"/>
    <col min="3" max="3" width="25.7109375" customWidth="1"/>
    <col min="4" max="4" width="65.7109375" customWidth="1"/>
  </cols>
  <sheetData>
    <row r="1" spans="2:4" ht="30" customHeight="1">
      <c r="B1" s="1"/>
      <c r="C1" s="1"/>
      <c r="D1" s="1"/>
    </row>
    <row r="2" spans="2:4" ht="32" customHeight="1">
      <c r="B2" s="2" t="s">
        <v>22</v>
      </c>
      <c r="C2" s="1"/>
      <c r="D2" s="1"/>
    </row>
    <row r="3" spans="2:4" ht="46" customHeight="1">
      <c r="B3" s="3" t="s">
        <v>23</v>
      </c>
      <c r="C3" s="1"/>
      <c r="D3" s="1"/>
    </row>
    <row r="4" spans="2:4" ht="30" customHeight="1">
      <c r="B4" s="5" t="s">
        <v>24</v>
      </c>
      <c r="C4" s="5"/>
      <c r="D4" s="5"/>
    </row>
    <row r="5" spans="2:4" ht="30" customHeight="1">
      <c r="B5" s="1" t="s">
        <v>25</v>
      </c>
      <c r="C5" s="6">
        <f>C30</f>
        <v>28</v>
      </c>
      <c r="D5" s="4"/>
    </row>
    <row r="6" spans="2:4" ht="30" customHeight="1">
      <c r="B6" s="1" t="s">
        <v>26</v>
      </c>
      <c r="C6" s="7">
        <f>C31</f>
        <v>1960</v>
      </c>
      <c r="D6" s="4" t="s">
        <v>72</v>
      </c>
    </row>
    <row r="7" spans="2:4" ht="30" customHeight="1">
      <c r="B7" s="1" t="s">
        <v>27</v>
      </c>
      <c r="C7" s="7">
        <f>C34</f>
        <v>-550</v>
      </c>
      <c r="D7" s="4"/>
    </row>
    <row r="8" spans="2:4" ht="46" customHeight="1">
      <c r="B8" s="1" t="s">
        <v>28</v>
      </c>
      <c r="C8" s="8">
        <f>IF(C29&lt;&gt;"OK","n.d.",IF(C35=0,"n.d.",C36/C35))</f>
        <v>-1</v>
      </c>
      <c r="D8" s="4" t="s">
        <v>73</v>
      </c>
    </row>
    <row r="9" spans="2:4" ht="46" customHeight="1">
      <c r="B9" s="1" t="s">
        <v>29</v>
      </c>
      <c r="C9" s="6" t="str">
        <f>IF(C29&lt;&gt;"OK","n.d.",IF(C34&lt;=0,"Brak zwrotu",IF(C21=0,0,C21/C34)))</f>
        <v>Brak zwrotu</v>
      </c>
      <c r="D9" s="4" t="s">
        <v>74</v>
      </c>
    </row>
    <row r="10" spans="2:4" ht="30" customHeight="1">
      <c r="B10" s="1" t="s">
        <v>30</v>
      </c>
      <c r="C10" s="7">
        <f>C38</f>
        <v>-550</v>
      </c>
      <c r="D10" s="4"/>
    </row>
    <row r="11" spans="2:4" ht="30" customHeight="1">
      <c r="B11" s="1" t="s">
        <v>31</v>
      </c>
      <c r="C11" s="8">
        <f>IF(C29&lt;&gt;"OK","n.d.",IF(C35=0,"n.d.",C39/C35))</f>
        <v>-1</v>
      </c>
      <c r="D11" s="4"/>
    </row>
    <row r="12" spans="2:4" ht="30" customHeight="1">
      <c r="B12" s="1"/>
      <c r="C12" s="1"/>
      <c r="D12" s="1"/>
    </row>
    <row r="13" spans="2:4" ht="30" customHeight="1">
      <c r="B13" s="1"/>
      <c r="C13" s="1"/>
      <c r="D13" s="1"/>
    </row>
    <row r="14" spans="2:4" ht="30" customHeight="1">
      <c r="B14" s="5" t="s">
        <v>32</v>
      </c>
      <c r="C14" s="5"/>
      <c r="D14" s="5"/>
    </row>
    <row r="15" spans="2:4" ht="30" customHeight="1">
      <c r="B15" s="1" t="s">
        <v>33</v>
      </c>
      <c r="C15" s="9">
        <v>300</v>
      </c>
      <c r="D15" s="4" t="s">
        <v>34</v>
      </c>
    </row>
    <row r="16" spans="2:4" ht="30" customHeight="1">
      <c r="B16" s="1" t="s">
        <v>35</v>
      </c>
      <c r="C16" s="9">
        <v>10</v>
      </c>
      <c r="D16" s="4" t="s">
        <v>36</v>
      </c>
    </row>
    <row r="17" spans="2:4" ht="30" customHeight="1">
      <c r="B17" s="1" t="s">
        <v>37</v>
      </c>
      <c r="C17" s="9">
        <v>2</v>
      </c>
      <c r="D17" s="4" t="s">
        <v>38</v>
      </c>
    </row>
    <row r="18" spans="2:4" ht="30" customHeight="1">
      <c r="B18" s="1" t="s">
        <v>39</v>
      </c>
      <c r="C18" s="10">
        <v>0.7</v>
      </c>
      <c r="D18" s="4" t="s">
        <v>40</v>
      </c>
    </row>
    <row r="19" spans="2:4" ht="30" customHeight="1">
      <c r="B19" s="1" t="s">
        <v>41</v>
      </c>
      <c r="C19" s="9">
        <v>70</v>
      </c>
      <c r="D19" s="4" t="s">
        <v>42</v>
      </c>
    </row>
    <row r="20" spans="2:4" ht="30" customHeight="1">
      <c r="B20" s="1" t="s">
        <v>43</v>
      </c>
      <c r="C20" s="10">
        <v>0</v>
      </c>
      <c r="D20" s="4" t="s">
        <v>44</v>
      </c>
    </row>
    <row r="21" spans="2:4" ht="30" customHeight="1">
      <c r="B21" s="1" t="s">
        <v>45</v>
      </c>
      <c r="C21" s="9">
        <v>8000</v>
      </c>
      <c r="D21" s="4" t="s">
        <v>46</v>
      </c>
    </row>
    <row r="22" spans="2:4" ht="30" customHeight="1">
      <c r="B22" s="1" t="s">
        <v>47</v>
      </c>
      <c r="C22" s="9">
        <v>400</v>
      </c>
      <c r="D22" s="4" t="s">
        <v>48</v>
      </c>
    </row>
    <row r="23" spans="2:4" ht="30" customHeight="1">
      <c r="B23" s="1" t="s">
        <v>49</v>
      </c>
      <c r="C23" s="9">
        <v>150</v>
      </c>
      <c r="D23" s="4" t="s">
        <v>50</v>
      </c>
    </row>
    <row r="24" spans="2:4" ht="30" customHeight="1">
      <c r="B24" s="1" t="s">
        <v>51</v>
      </c>
      <c r="C24" s="9">
        <v>12</v>
      </c>
      <c r="D24" s="4" t="s">
        <v>52</v>
      </c>
    </row>
    <row r="25" spans="2:4" ht="30" customHeight="1">
      <c r="B25" s="1" t="s">
        <v>53</v>
      </c>
      <c r="C25" s="9">
        <v>0</v>
      </c>
      <c r="D25" s="4" t="s">
        <v>54</v>
      </c>
    </row>
    <row r="26" spans="2:4" ht="30" customHeight="1">
      <c r="B26" s="1" t="s">
        <v>55</v>
      </c>
      <c r="C26" s="10">
        <v>0.5</v>
      </c>
      <c r="D26" s="4" t="s">
        <v>56</v>
      </c>
    </row>
    <row r="27" spans="2:4" ht="30" customHeight="1">
      <c r="B27" s="1"/>
      <c r="C27" s="1"/>
      <c r="D27" s="1"/>
    </row>
    <row r="28" spans="2:4" ht="30" customHeight="1">
      <c r="B28" s="5" t="s">
        <v>57</v>
      </c>
      <c r="C28" s="5"/>
      <c r="D28" s="5"/>
    </row>
    <row r="29" spans="2:4" ht="30" customHeight="1">
      <c r="B29" s="1" t="s">
        <v>58</v>
      </c>
      <c r="C29" s="1" t="str">
        <f>IF(COUNT(C15:C26)&lt;&gt;12,"Uzupełnij liczby",IF(OR(MIN(C15:C26)&lt;0,C18&gt;1,C20&gt;1,C26&gt;1,C24&lt;1,MOD(C24,1)&lt;&gt;0),"Popraw zakresy","OK"))</f>
        <v>OK</v>
      </c>
      <c r="D29" s="4" t="s">
        <v>59</v>
      </c>
    </row>
    <row r="30" spans="2:4" ht="30" customHeight="1">
      <c r="B30" s="1" t="s">
        <v>60</v>
      </c>
      <c r="C30" s="6">
        <f>IF(C29&lt;&gt;"OK","n.d.",C15*(C16-C17)*C18/60)</f>
        <v>28</v>
      </c>
      <c r="D30" s="4"/>
    </row>
    <row r="31" spans="2:4" ht="30" customHeight="1">
      <c r="B31" s="1" t="s">
        <v>61</v>
      </c>
      <c r="C31" s="7">
        <f>IF(C29&lt;&gt;"OK","n.d.",C30*C19)</f>
        <v>1960</v>
      </c>
      <c r="D31" s="4"/>
    </row>
    <row r="32" spans="2:4" ht="30" customHeight="1">
      <c r="B32" s="1" t="s">
        <v>62</v>
      </c>
      <c r="C32" s="7">
        <f>IF(C29&lt;&gt;"OK","n.d.",C31*C20)</f>
        <v>0</v>
      </c>
      <c r="D32" s="4"/>
    </row>
    <row r="33" spans="2:4" ht="30" customHeight="1">
      <c r="B33" s="1" t="s">
        <v>63</v>
      </c>
      <c r="C33" s="7">
        <f>IF(C29&lt;&gt;"OK","n.d.",SUM(C22:C23))</f>
        <v>550</v>
      </c>
      <c r="D33" s="4"/>
    </row>
    <row r="34" spans="2:4" ht="30" customHeight="1">
      <c r="B34" s="1" t="s">
        <v>64</v>
      </c>
      <c r="C34" s="7">
        <f>IF(C29&lt;&gt;"OK","n.d.",C32-C33)</f>
        <v>-550</v>
      </c>
      <c r="D34" s="4"/>
    </row>
    <row r="35" spans="2:4" ht="30" customHeight="1">
      <c r="B35" s="1" t="s">
        <v>65</v>
      </c>
      <c r="C35" s="7">
        <f>IF(C29&lt;&gt;"OK","n.d.",C21+C33*C24)</f>
        <v>14600</v>
      </c>
      <c r="D35" s="4"/>
    </row>
    <row r="36" spans="2:4" ht="30" customHeight="1">
      <c r="B36" s="1" t="s">
        <v>66</v>
      </c>
      <c r="C36" s="7">
        <f>IF(C29&lt;&gt;"OK","n.d.",C34*C24-C21)</f>
        <v>-14600</v>
      </c>
      <c r="D36" s="4"/>
    </row>
    <row r="37" spans="2:4" ht="30" customHeight="1">
      <c r="B37" s="1" t="s">
        <v>67</v>
      </c>
      <c r="C37" s="7">
        <f>IF(C29&lt;&gt;"OK","n.d.",C25*C26)</f>
        <v>0</v>
      </c>
      <c r="D37" s="4"/>
    </row>
    <row r="38" spans="2:4" ht="30" customHeight="1">
      <c r="B38" s="1" t="s">
        <v>68</v>
      </c>
      <c r="C38" s="7">
        <f>IF(C29&lt;&gt;"OK","n.d.",C34+C37)</f>
        <v>-550</v>
      </c>
      <c r="D38" s="4"/>
    </row>
    <row r="39" spans="2:4" ht="30" customHeight="1">
      <c r="B39" s="1" t="s">
        <v>69</v>
      </c>
      <c r="C39" s="7">
        <f>IF(C29&lt;&gt;"OK","n.d.",C38*C24-C21)</f>
        <v>-14600</v>
      </c>
      <c r="D39" s="4"/>
    </row>
    <row r="40" spans="2:4" ht="30" customHeight="1">
      <c r="B40" s="1"/>
      <c r="C40" s="1"/>
      <c r="D40" s="1"/>
    </row>
    <row r="41" spans="2:4" ht="30" customHeight="1">
      <c r="B41" s="1" t="s">
        <v>70</v>
      </c>
      <c r="C41" s="7">
        <f>IF(C29&lt;&gt;"OK","n.d.",C33+C21/C24)</f>
        <v>1216.666666667</v>
      </c>
      <c r="D41" s="4" t="s">
        <v>71</v>
      </c>
    </row>
    <row r="42" spans="2:4" ht="30" customHeight="1">
      <c r="B42" s="1"/>
      <c r="C42" s="1"/>
      <c r="D42" s="1"/>
    </row>
    <row r="43" spans="2:4" ht="30" customHeight="1">
      <c r="B43" s="1"/>
      <c r="C43" s="1"/>
      <c r="D43" s="1"/>
    </row>
    <row r="44" spans="2:4" ht="30" customHeight="1">
      <c r="B44" s="1"/>
      <c r="C44" s="1"/>
      <c r="D44" s="1"/>
    </row>
  </sheetData>
  <conditionalFormatting sqref="C7:C11">
    <cfRule type="cellIs" dxfId="0" priority="1" operator="lessThan">
      <formula>0</formula>
    </cfRule>
  </conditionalFormatting>
  <dataValidations count="13">
    <dataValidation type="decimal" showInputMessage="1" showErrorMessage="1" error="Podaj liczbę w dopuszczalnym zakresie." sqref="C15">
      <formula1>0</formula1>
      <formula2>100000000</formula2>
    </dataValidation>
    <dataValidation type="decimal" showInputMessage="1" showErrorMessage="1" error="Podaj liczbę w dopuszczalnym zakresie." sqref="C16">
      <formula1>0</formula1>
      <formula2>100000000</formula2>
    </dataValidation>
    <dataValidation type="decimal" showInputMessage="1" showErrorMessage="1" error="Podaj liczbę w dopuszczalnym zakresie." sqref="C17">
      <formula1>0</formula1>
      <formula2>100000000</formula2>
    </dataValidation>
    <dataValidation type="decimal" showInputMessage="1" showErrorMessage="1" error="Podaj liczbę w dopuszczalnym zakresie." sqref="C18">
      <formula1>0</formula1>
      <formula2>1</formula2>
    </dataValidation>
    <dataValidation type="decimal" showInputMessage="1" showErrorMessage="1" error="Podaj liczbę w dopuszczalnym zakresie." sqref="C19">
      <formula1>0</formula1>
      <formula2>100000000</formula2>
    </dataValidation>
    <dataValidation type="decimal" showInputMessage="1" showErrorMessage="1" error="Podaj liczbę w dopuszczalnym zakresie." sqref="C20">
      <formula1>0</formula1>
      <formula2>1</formula2>
    </dataValidation>
    <dataValidation type="decimal" showInputMessage="1" showErrorMessage="1" error="Podaj liczbę w dopuszczalnym zakresie." sqref="C21">
      <formula1>0</formula1>
      <formula2>100000000</formula2>
    </dataValidation>
    <dataValidation type="decimal" showInputMessage="1" showErrorMessage="1" error="Podaj liczbę w dopuszczalnym zakresie." sqref="C22">
      <formula1>0</formula1>
      <formula2>100000000</formula2>
    </dataValidation>
    <dataValidation type="decimal" showInputMessage="1" showErrorMessage="1" error="Podaj liczbę w dopuszczalnym zakresie." sqref="C23">
      <formula1>0</formula1>
      <formula2>100000000</formula2>
    </dataValidation>
    <dataValidation type="decimal" showInputMessage="1" showErrorMessage="1" error="Podaj liczbę w dopuszczalnym zakresie." sqref="C24">
      <formula1>1</formula1>
      <formula2>100000000</formula2>
    </dataValidation>
    <dataValidation type="decimal" showInputMessage="1" showErrorMessage="1" error="Podaj liczbę w dopuszczalnym zakresie." sqref="C25">
      <formula1>0</formula1>
      <formula2>100000000</formula2>
    </dataValidation>
    <dataValidation type="decimal" showInputMessage="1" showErrorMessage="1" error="Podaj liczbę w dopuszczalnym zakresie." sqref="C26">
      <formula1>0</formula1>
      <formula2>1</formula2>
    </dataValidation>
    <dataValidation type="whole" showInputMessage="1" showErrorMessage="1" sqref="C24">
      <formula1>1</formula1>
      <formula2>1200</formula2>
    </dataValidation>
  </dataValidations>
  <pageMargins left="0.3" right="0.3" top="0.4" bottom="0.4" header="0.3" footer="0.3"/>
  <pageSetup paperSize="9" fitToHeight="0" orientation="landscape"/>
  <headerFooter>
    <oddFooter>&amp;LZautomatyzujemy.pl&amp;R&amp;N /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51719"/>
    <pageSetUpPr fitToPage="1"/>
  </sheetPr>
  <dimension ref="A1:D27"/>
  <sheetViews>
    <sheetView showGridLines="0" zoomScale="90" zoomScaleNormal="90" workbookViewId="0"/>
  </sheetViews>
  <sheetFormatPr defaultRowHeight="15"/>
  <cols>
    <col min="1" max="1" width="3.7109375" customWidth="1"/>
    <col min="2" max="2" width="49.7109375" customWidth="1"/>
    <col min="3" max="3" width="25.7109375" customWidth="1"/>
    <col min="4" max="4" width="65.7109375" customWidth="1"/>
  </cols>
  <sheetData>
    <row r="1" spans="2:4" ht="30" customHeight="1">
      <c r="B1" s="1"/>
      <c r="C1" s="1"/>
      <c r="D1" s="1"/>
    </row>
    <row r="2" spans="2:4" ht="32" customHeight="1">
      <c r="B2" s="2" t="s">
        <v>75</v>
      </c>
      <c r="C2" s="1"/>
      <c r="D2" s="1"/>
    </row>
    <row r="3" spans="2:4" ht="46" customHeight="1">
      <c r="B3" s="3" t="s">
        <v>76</v>
      </c>
      <c r="C3" s="1"/>
      <c r="D3" s="1"/>
    </row>
    <row r="4" spans="2:4" ht="30" customHeight="1">
      <c r="B4" s="5" t="s">
        <v>77</v>
      </c>
      <c r="C4" s="5"/>
      <c r="D4" s="5"/>
    </row>
    <row r="5" spans="2:4" ht="30" customHeight="1">
      <c r="B5" s="1" t="s">
        <v>78</v>
      </c>
      <c r="C5" s="9">
        <v>6</v>
      </c>
      <c r="D5" s="4"/>
    </row>
    <row r="6" spans="2:4" ht="30" customHeight="1">
      <c r="B6" s="1" t="s">
        <v>79</v>
      </c>
      <c r="C6" s="9">
        <v>24</v>
      </c>
      <c r="D6" s="4"/>
    </row>
    <row r="7" spans="2:4" ht="30" customHeight="1">
      <c r="B7" s="1" t="s">
        <v>80</v>
      </c>
      <c r="C7" s="9">
        <v>8</v>
      </c>
      <c r="D7" s="4"/>
    </row>
    <row r="8" spans="2:4" ht="30" customHeight="1">
      <c r="B8" s="1" t="s">
        <v>81</v>
      </c>
      <c r="C8" s="9">
        <v>2</v>
      </c>
      <c r="D8" s="4"/>
    </row>
    <row r="9" spans="2:4" ht="30" customHeight="1">
      <c r="B9" s="1" t="s">
        <v>82</v>
      </c>
      <c r="C9" s="10">
        <v>0.2</v>
      </c>
      <c r="D9" s="4"/>
    </row>
    <row r="10" spans="2:4" ht="30" customHeight="1">
      <c r="B10" s="1" t="s">
        <v>83</v>
      </c>
      <c r="C10" s="9">
        <v>200</v>
      </c>
      <c r="D10" s="4"/>
    </row>
    <row r="11" spans="2:4" ht="30" customHeight="1">
      <c r="B11" s="1" t="s">
        <v>84</v>
      </c>
      <c r="C11" s="9">
        <v>0</v>
      </c>
      <c r="D11" s="4"/>
    </row>
    <row r="12" spans="2:4" ht="30" customHeight="1">
      <c r="B12" s="1" t="s">
        <v>85</v>
      </c>
      <c r="C12" s="11"/>
      <c r="D12" s="4" t="s">
        <v>86</v>
      </c>
    </row>
    <row r="13" spans="2:4" ht="30" customHeight="1">
      <c r="B13" s="1"/>
      <c r="C13" s="1"/>
      <c r="D13" s="1"/>
    </row>
    <row r="14" spans="2:4" ht="30" customHeight="1">
      <c r="B14" s="5" t="s">
        <v>87</v>
      </c>
      <c r="C14" s="5"/>
      <c r="D14" s="5"/>
    </row>
    <row r="15" spans="2:4" ht="30" customHeight="1">
      <c r="B15" s="1" t="s">
        <v>58</v>
      </c>
      <c r="C15" s="1" t="str">
        <f>IF(COUNT(C5:C11)&lt;&gt;7,"Uzupełnij liczby",IF(OR(MIN(C5:C11)&lt;0,C9&gt;1,AND(C12&lt;&gt;"",NOT(ISNUMBER(C12))),C12&lt;0,C12&gt;1),"Popraw zakresy","OK"))</f>
        <v>OK</v>
      </c>
      <c r="D15" s="1"/>
    </row>
    <row r="16" spans="2:4" ht="30" customHeight="1">
      <c r="B16" s="1" t="s">
        <v>88</v>
      </c>
      <c r="C16" s="6">
        <f>IF(C15&lt;&gt;"OK","n.d.",SUM(C5:C8))</f>
        <v>40</v>
      </c>
      <c r="D16" s="4"/>
    </row>
    <row r="17" spans="2:4" ht="30" customHeight="1">
      <c r="B17" s="1" t="s">
        <v>89</v>
      </c>
      <c r="C17" s="6">
        <f>IF(C15&lt;&gt;"OK","n.d.",C16*(1+C9))</f>
        <v>48</v>
      </c>
      <c r="D17" s="4"/>
    </row>
    <row r="18" spans="2:4" ht="30" customHeight="1">
      <c r="B18" s="1" t="s">
        <v>90</v>
      </c>
      <c r="C18" s="7">
        <f>IF(C15&lt;&gt;"OK","n.d.",C17*C10+C11)</f>
        <v>9600</v>
      </c>
      <c r="D18" s="4"/>
    </row>
    <row r="19" spans="2:4" ht="30" customHeight="1">
      <c r="B19" s="1" t="s">
        <v>91</v>
      </c>
      <c r="C19" s="7">
        <f>IF(C15&lt;&gt;"OK","n.d.",IF(C12="",0,C18*C12))</f>
        <v>0</v>
      </c>
      <c r="D19" s="4"/>
    </row>
    <row r="20" spans="2:4" ht="30" customHeight="1">
      <c r="B20" s="1" t="s">
        <v>92</v>
      </c>
      <c r="C20" s="7">
        <f>IF(C15&lt;&gt;"OK","n.d.",SUM(C18:C19))</f>
        <v>9600</v>
      </c>
      <c r="D20" s="4"/>
    </row>
    <row r="21" spans="2:4" ht="30" customHeight="1">
      <c r="B21" s="1"/>
      <c r="C21" s="1"/>
      <c r="D21" s="1"/>
    </row>
    <row r="22" spans="2:4" ht="30" customHeight="1">
      <c r="B22" s="1" t="s">
        <v>93</v>
      </c>
      <c r="C22" s="11"/>
      <c r="D22" s="4" t="s">
        <v>94</v>
      </c>
    </row>
    <row r="23" spans="2:4" ht="30" customHeight="1">
      <c r="B23" s="1" t="s">
        <v>95</v>
      </c>
      <c r="C23" s="11"/>
      <c r="D23" s="4" t="s">
        <v>96</v>
      </c>
    </row>
    <row r="24" spans="2:4" ht="70" customHeight="1">
      <c r="B24" s="1" t="s">
        <v>97</v>
      </c>
      <c r="C24" s="11"/>
      <c r="D24" s="4" t="s">
        <v>98</v>
      </c>
    </row>
    <row r="25" spans="2:4" ht="30" customHeight="1">
      <c r="B25" s="1"/>
      <c r="C25" s="1"/>
      <c r="D25" s="1"/>
    </row>
    <row r="26" spans="2:4" ht="30" customHeight="1">
      <c r="B26" s="1"/>
      <c r="C26" s="1"/>
      <c r="D26" s="1"/>
    </row>
    <row r="27" spans="2:4" ht="30" customHeight="1">
      <c r="B27" s="1"/>
      <c r="C27" s="1"/>
      <c r="D27" s="1"/>
    </row>
  </sheetData>
  <dataValidations count="8">
    <dataValidation type="decimal" allowBlank="1" showInputMessage="1" showErrorMessage="1" sqref="C5">
      <formula1>0</formula1>
      <formula2>100000000</formula2>
    </dataValidation>
    <dataValidation type="decimal" allowBlank="1" showInputMessage="1" showErrorMessage="1" sqref="C6">
      <formula1>0</formula1>
      <formula2>100000000</formula2>
    </dataValidation>
    <dataValidation type="decimal" allowBlank="1" showInputMessage="1" showErrorMessage="1" sqref="C7">
      <formula1>0</formula1>
      <formula2>100000000</formula2>
    </dataValidation>
    <dataValidation type="decimal" allowBlank="1" showInputMessage="1" showErrorMessage="1" sqref="C8">
      <formula1>0</formula1>
      <formula2>100000000</formula2>
    </dataValidation>
    <dataValidation type="decimal" allowBlank="1" showInputMessage="1" showErrorMessage="1" sqref="C9">
      <formula1>0</formula1>
      <formula2>1</formula2>
    </dataValidation>
    <dataValidation type="decimal" allowBlank="1" showInputMessage="1" showErrorMessage="1" sqref="C10">
      <formula1>0</formula1>
      <formula2>100000000</formula2>
    </dataValidation>
    <dataValidation type="decimal" allowBlank="1" showInputMessage="1" showErrorMessage="1" sqref="C11">
      <formula1>0</formula1>
      <formula2>100000000</formula2>
    </dataValidation>
    <dataValidation type="decimal" allowBlank="1" showInputMessage="1" showErrorMessage="1" sqref="C12">
      <formula1>0</formula1>
      <formula2>1</formula2>
    </dataValidation>
  </dataValidations>
  <pageMargins left="0.3" right="0.3" top="0.4" bottom="0.4" header="0.3" footer="0.3"/>
  <pageSetup paperSize="9" fitToHeight="0" orientation="landscape"/>
  <headerFooter>
    <oddFooter>&amp;LZautomatyzujemy.pl&amp;R&amp;N /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51719"/>
    <pageSetUpPr fitToPage="1"/>
  </sheetPr>
  <dimension ref="A1:L35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25.7109375" customWidth="1"/>
    <col min="3" max="3" width="20.7109375" customWidth="1"/>
    <col min="4" max="4" width="25.7109375" customWidth="1"/>
    <col min="5" max="5" width="36.7109375" customWidth="1"/>
    <col min="6" max="6" width="40.7109375" customWidth="1"/>
    <col min="7" max="7" width="22.7109375" customWidth="1"/>
    <col min="8" max="8" width="24.7109375" customWidth="1"/>
    <col min="9" max="9" width="19.7109375" customWidth="1"/>
    <col min="10" max="10" width="40.7109375" customWidth="1"/>
    <col min="11" max="11" width="17.7109375" customWidth="1"/>
    <col min="12" max="12" width="35.7109375" customWidth="1"/>
  </cols>
  <sheetData>
    <row r="1" spans="2:12" ht="30" customHeight="1">
      <c r="B1" s="1"/>
      <c r="C1" s="1"/>
      <c r="D1" s="1"/>
    </row>
    <row r="2" spans="2:12" ht="32" customHeight="1">
      <c r="B2" s="2" t="s">
        <v>99</v>
      </c>
      <c r="C2" s="1"/>
      <c r="D2" s="1"/>
    </row>
    <row r="3" spans="2:12" ht="46" customHeight="1">
      <c r="B3" s="3" t="s">
        <v>100</v>
      </c>
      <c r="C3" s="1"/>
      <c r="D3" s="1"/>
    </row>
    <row r="4" spans="2:12" ht="42" customHeight="1">
      <c r="B4" s="5" t="s">
        <v>101</v>
      </c>
      <c r="C4" s="5" t="s">
        <v>102</v>
      </c>
      <c r="D4" s="5" t="s">
        <v>103</v>
      </c>
      <c r="E4" s="5" t="s">
        <v>104</v>
      </c>
      <c r="F4" s="5" t="s">
        <v>105</v>
      </c>
      <c r="G4" s="5" t="s">
        <v>106</v>
      </c>
      <c r="H4" s="5" t="s">
        <v>107</v>
      </c>
      <c r="I4" s="5" t="s">
        <v>108</v>
      </c>
      <c r="J4" s="5" t="s">
        <v>109</v>
      </c>
      <c r="K4" s="5" t="s">
        <v>110</v>
      </c>
      <c r="L4" s="5" t="s">
        <v>111</v>
      </c>
    </row>
    <row r="5" spans="2:12" ht="30" customHeight="1">
      <c r="B5" s="11"/>
      <c r="C5" s="11"/>
      <c r="D5" s="11"/>
      <c r="E5" s="11"/>
      <c r="F5" s="11"/>
      <c r="G5" s="11"/>
      <c r="H5" s="11"/>
      <c r="I5" s="9"/>
      <c r="J5" s="11"/>
      <c r="K5" s="12"/>
      <c r="L5" s="11"/>
    </row>
    <row r="6" spans="2:12" ht="30" customHeight="1">
      <c r="B6" s="11"/>
      <c r="C6" s="11"/>
      <c r="D6" s="11"/>
      <c r="E6" s="11"/>
      <c r="F6" s="11"/>
      <c r="G6" s="11"/>
      <c r="H6" s="11"/>
      <c r="I6" s="9"/>
      <c r="J6" s="11"/>
      <c r="K6" s="12"/>
      <c r="L6" s="11"/>
    </row>
    <row r="7" spans="2:12" ht="30" customHeight="1">
      <c r="B7" s="11"/>
      <c r="C7" s="11"/>
      <c r="D7" s="11"/>
      <c r="E7" s="11"/>
      <c r="F7" s="11"/>
      <c r="G7" s="11"/>
      <c r="H7" s="11"/>
      <c r="I7" s="9"/>
      <c r="J7" s="11"/>
      <c r="K7" s="12"/>
      <c r="L7" s="11"/>
    </row>
    <row r="8" spans="2:12" ht="30" customHeight="1">
      <c r="B8" s="11"/>
      <c r="C8" s="11"/>
      <c r="D8" s="11"/>
      <c r="E8" s="11"/>
      <c r="F8" s="11"/>
      <c r="G8" s="11"/>
      <c r="H8" s="11"/>
      <c r="I8" s="9"/>
      <c r="J8" s="11"/>
      <c r="K8" s="12"/>
      <c r="L8" s="11"/>
    </row>
    <row r="9" spans="2:12" ht="30" customHeight="1">
      <c r="B9" s="11"/>
      <c r="C9" s="11"/>
      <c r="D9" s="11"/>
      <c r="E9" s="11"/>
      <c r="F9" s="11"/>
      <c r="G9" s="11"/>
      <c r="H9" s="11"/>
      <c r="I9" s="9"/>
      <c r="J9" s="11"/>
      <c r="K9" s="12"/>
      <c r="L9" s="11"/>
    </row>
    <row r="10" spans="2:12" ht="30" customHeight="1">
      <c r="B10" s="11"/>
      <c r="C10" s="11"/>
      <c r="D10" s="11"/>
      <c r="E10" s="11"/>
      <c r="F10" s="11"/>
      <c r="G10" s="11"/>
      <c r="H10" s="11"/>
      <c r="I10" s="9"/>
      <c r="J10" s="11"/>
      <c r="K10" s="12"/>
      <c r="L10" s="11"/>
    </row>
    <row r="11" spans="2:12" ht="30" customHeight="1">
      <c r="B11" s="11"/>
      <c r="C11" s="11"/>
      <c r="D11" s="11"/>
      <c r="E11" s="11"/>
      <c r="F11" s="11"/>
      <c r="G11" s="11"/>
      <c r="H11" s="11"/>
      <c r="I11" s="9"/>
      <c r="J11" s="11"/>
      <c r="K11" s="12"/>
      <c r="L11" s="11"/>
    </row>
    <row r="12" spans="2:12" ht="30" customHeight="1">
      <c r="B12" s="11"/>
      <c r="C12" s="11"/>
      <c r="D12" s="11"/>
      <c r="E12" s="11"/>
      <c r="F12" s="11"/>
      <c r="G12" s="11"/>
      <c r="H12" s="11"/>
      <c r="I12" s="9"/>
      <c r="J12" s="11"/>
      <c r="K12" s="12"/>
      <c r="L12" s="11"/>
    </row>
    <row r="13" spans="2:12" ht="30" customHeight="1">
      <c r="B13" s="11"/>
      <c r="C13" s="11"/>
      <c r="D13" s="11"/>
      <c r="E13" s="11"/>
      <c r="F13" s="11"/>
      <c r="G13" s="11"/>
      <c r="H13" s="11"/>
      <c r="I13" s="9"/>
      <c r="J13" s="11"/>
      <c r="K13" s="12"/>
      <c r="L13" s="11"/>
    </row>
    <row r="14" spans="2:12" ht="30" customHeight="1">
      <c r="B14" s="11"/>
      <c r="C14" s="11"/>
      <c r="D14" s="11"/>
      <c r="E14" s="11"/>
      <c r="F14" s="11"/>
      <c r="G14" s="11"/>
      <c r="H14" s="11"/>
      <c r="I14" s="9"/>
      <c r="J14" s="11"/>
      <c r="K14" s="12"/>
      <c r="L14" s="11"/>
    </row>
    <row r="15" spans="2:12" ht="30" customHeight="1">
      <c r="B15" s="11"/>
      <c r="C15" s="11"/>
      <c r="D15" s="11"/>
      <c r="E15" s="11"/>
      <c r="F15" s="11"/>
      <c r="G15" s="11"/>
      <c r="H15" s="11"/>
      <c r="I15" s="9"/>
      <c r="J15" s="11"/>
      <c r="K15" s="12"/>
      <c r="L15" s="11"/>
    </row>
    <row r="16" spans="2:12" ht="30" customHeight="1">
      <c r="B16" s="11"/>
      <c r="C16" s="11"/>
      <c r="D16" s="11"/>
      <c r="E16" s="11"/>
      <c r="F16" s="11"/>
      <c r="G16" s="11"/>
      <c r="H16" s="11"/>
      <c r="I16" s="9"/>
      <c r="J16" s="11"/>
      <c r="K16" s="12"/>
      <c r="L16" s="11"/>
    </row>
    <row r="17" spans="2:12" ht="30" customHeight="1">
      <c r="B17" s="11"/>
      <c r="C17" s="11"/>
      <c r="D17" s="11"/>
      <c r="E17" s="11"/>
      <c r="F17" s="11"/>
      <c r="G17" s="11"/>
      <c r="H17" s="11"/>
      <c r="I17" s="9"/>
      <c r="J17" s="11"/>
      <c r="K17" s="12"/>
      <c r="L17" s="11"/>
    </row>
    <row r="18" spans="2:12" ht="30" customHeight="1">
      <c r="B18" s="11"/>
      <c r="C18" s="11"/>
      <c r="D18" s="11"/>
      <c r="E18" s="11"/>
      <c r="F18" s="11"/>
      <c r="G18" s="11"/>
      <c r="H18" s="11"/>
      <c r="I18" s="9"/>
      <c r="J18" s="11"/>
      <c r="K18" s="12"/>
      <c r="L18" s="11"/>
    </row>
    <row r="19" spans="2:12" ht="30" customHeight="1">
      <c r="B19" s="11"/>
      <c r="C19" s="11"/>
      <c r="D19" s="11"/>
      <c r="E19" s="11"/>
      <c r="F19" s="11"/>
      <c r="G19" s="11"/>
      <c r="H19" s="11"/>
      <c r="I19" s="9"/>
      <c r="J19" s="11"/>
      <c r="K19" s="12"/>
      <c r="L19" s="11"/>
    </row>
    <row r="20" spans="2:12" ht="30" customHeight="1">
      <c r="B20" s="11"/>
      <c r="C20" s="11"/>
      <c r="D20" s="11"/>
      <c r="E20" s="11"/>
      <c r="F20" s="11"/>
      <c r="G20" s="11"/>
      <c r="H20" s="11"/>
      <c r="I20" s="9"/>
      <c r="J20" s="11"/>
      <c r="K20" s="12"/>
      <c r="L20" s="11"/>
    </row>
    <row r="21" spans="2:12" ht="30" customHeight="1">
      <c r="B21" s="11"/>
      <c r="C21" s="11"/>
      <c r="D21" s="11"/>
      <c r="E21" s="11"/>
      <c r="F21" s="11"/>
      <c r="G21" s="11"/>
      <c r="H21" s="11"/>
      <c r="I21" s="9"/>
      <c r="J21" s="11"/>
      <c r="K21" s="12"/>
      <c r="L21" s="11"/>
    </row>
    <row r="22" spans="2:12" ht="30" customHeight="1">
      <c r="B22" s="11"/>
      <c r="C22" s="11"/>
      <c r="D22" s="11"/>
      <c r="E22" s="11"/>
      <c r="F22" s="11"/>
      <c r="G22" s="11"/>
      <c r="H22" s="11"/>
      <c r="I22" s="9"/>
      <c r="J22" s="11"/>
      <c r="K22" s="12"/>
      <c r="L22" s="11"/>
    </row>
    <row r="23" spans="2:12" ht="30" customHeight="1">
      <c r="B23" s="11"/>
      <c r="C23" s="11"/>
      <c r="D23" s="11"/>
      <c r="E23" s="11"/>
      <c r="F23" s="11"/>
      <c r="G23" s="11"/>
      <c r="H23" s="11"/>
      <c r="I23" s="9"/>
      <c r="J23" s="11"/>
      <c r="K23" s="12"/>
      <c r="L23" s="11"/>
    </row>
    <row r="24" spans="2:12" ht="30" customHeight="1">
      <c r="B24" s="11"/>
      <c r="C24" s="11"/>
      <c r="D24" s="11"/>
      <c r="E24" s="11"/>
      <c r="F24" s="11"/>
      <c r="G24" s="11"/>
      <c r="H24" s="11"/>
      <c r="I24" s="9"/>
      <c r="J24" s="11"/>
      <c r="K24" s="12"/>
      <c r="L24" s="11"/>
    </row>
    <row r="25" spans="2:12" ht="30" customHeight="1">
      <c r="B25" s="11"/>
      <c r="C25" s="11"/>
      <c r="D25" s="11"/>
      <c r="E25" s="11"/>
      <c r="F25" s="11"/>
      <c r="G25" s="11"/>
      <c r="H25" s="11"/>
      <c r="I25" s="9"/>
      <c r="J25" s="11"/>
      <c r="K25" s="12"/>
      <c r="L25" s="11"/>
    </row>
    <row r="26" spans="2:12" ht="30" customHeight="1">
      <c r="B26" s="11"/>
      <c r="C26" s="11"/>
      <c r="D26" s="11"/>
      <c r="E26" s="11"/>
      <c r="F26" s="11"/>
      <c r="G26" s="11"/>
      <c r="H26" s="11"/>
      <c r="I26" s="9"/>
      <c r="J26" s="11"/>
      <c r="K26" s="12"/>
      <c r="L26" s="11"/>
    </row>
    <row r="27" spans="2:12" ht="30" customHeight="1">
      <c r="B27" s="11"/>
      <c r="C27" s="11"/>
      <c r="D27" s="11"/>
      <c r="E27" s="11"/>
      <c r="F27" s="11"/>
      <c r="G27" s="11"/>
      <c r="H27" s="11"/>
      <c r="I27" s="9"/>
      <c r="J27" s="11"/>
      <c r="K27" s="12"/>
      <c r="L27" s="11"/>
    </row>
    <row r="28" spans="2:12" ht="30" customHeight="1">
      <c r="B28" s="11"/>
      <c r="C28" s="11"/>
      <c r="D28" s="11"/>
      <c r="E28" s="11"/>
      <c r="F28" s="11"/>
      <c r="G28" s="11"/>
      <c r="H28" s="11"/>
      <c r="I28" s="9"/>
      <c r="J28" s="11"/>
      <c r="K28" s="12"/>
      <c r="L28" s="11"/>
    </row>
    <row r="29" spans="2:12" ht="30" customHeight="1">
      <c r="B29" s="11"/>
      <c r="C29" s="11"/>
      <c r="D29" s="11"/>
      <c r="E29" s="11"/>
      <c r="F29" s="11"/>
      <c r="G29" s="11"/>
      <c r="H29" s="11"/>
      <c r="I29" s="9"/>
      <c r="J29" s="11"/>
      <c r="K29" s="12"/>
      <c r="L29" s="11"/>
    </row>
    <row r="30" spans="2:12" ht="30" customHeight="1">
      <c r="B30" s="11"/>
      <c r="C30" s="11"/>
      <c r="D30" s="11"/>
      <c r="E30" s="11"/>
      <c r="F30" s="11"/>
      <c r="G30" s="11"/>
      <c r="H30" s="11"/>
      <c r="I30" s="9"/>
      <c r="J30" s="11"/>
      <c r="K30" s="12"/>
      <c r="L30" s="11"/>
    </row>
    <row r="31" spans="2:12" ht="30" customHeight="1">
      <c r="B31" s="11"/>
      <c r="C31" s="11"/>
      <c r="D31" s="11"/>
      <c r="E31" s="11"/>
      <c r="F31" s="11"/>
      <c r="G31" s="11"/>
      <c r="H31" s="11"/>
      <c r="I31" s="9"/>
      <c r="J31" s="11"/>
      <c r="K31" s="12"/>
      <c r="L31" s="11"/>
    </row>
    <row r="32" spans="2:12" ht="30" customHeight="1">
      <c r="B32" s="11"/>
      <c r="C32" s="11"/>
      <c r="D32" s="11"/>
      <c r="E32" s="11"/>
      <c r="F32" s="11"/>
      <c r="G32" s="11"/>
      <c r="H32" s="11"/>
      <c r="I32" s="9"/>
      <c r="J32" s="11"/>
      <c r="K32" s="12"/>
      <c r="L32" s="11"/>
    </row>
    <row r="33" spans="2:12" ht="30" customHeight="1">
      <c r="B33" s="11"/>
      <c r="C33" s="11"/>
      <c r="D33" s="11"/>
      <c r="E33" s="11"/>
      <c r="F33" s="11"/>
      <c r="G33" s="11"/>
      <c r="H33" s="11"/>
      <c r="I33" s="9"/>
      <c r="J33" s="11"/>
      <c r="K33" s="12"/>
      <c r="L33" s="11"/>
    </row>
    <row r="34" spans="2:12" ht="30" customHeight="1">
      <c r="B34" s="11"/>
      <c r="C34" s="11"/>
      <c r="D34" s="11"/>
      <c r="E34" s="11"/>
      <c r="F34" s="11"/>
      <c r="G34" s="11"/>
      <c r="H34" s="11"/>
      <c r="I34" s="9"/>
      <c r="J34" s="11"/>
      <c r="K34" s="12"/>
      <c r="L34" s="11"/>
    </row>
    <row r="35" spans="2:12" ht="30" customHeight="1">
      <c r="B35" s="1"/>
      <c r="C35" s="1"/>
      <c r="D35" s="1"/>
    </row>
  </sheetData>
  <autoFilter ref="B4:L34"/>
  <conditionalFormatting sqref="B5:L34">
    <cfRule type="expression" dxfId="0" priority="1">
      <formula>AND($B5&lt;&gt;"",$K5&lt;&gt;"",$K5&lt;TODAY(),$H5&lt;&gt;"Wygrana",$H5&lt;&gt;"Przegrana")</formula>
    </cfRule>
  </conditionalFormatting>
  <dataValidations count="1">
    <dataValidation type="list" allowBlank="1" showInputMessage="1" showErrorMessage="1" sqref="H5:H34">
      <formula1>"Do kontaktu,Rozmowa umówiona,Discovery,Oferta,Negocjacje,Wygrana,Przegrana,Wstrzymana"</formula1>
    </dataValidation>
  </dataValidations>
  <pageMargins left="0.3" right="0.3" top="0.4" bottom="0.4" header="0.3" footer="0.3"/>
  <pageSetup paperSize="8" fitToHeight="2" orientation="landscape"/>
  <headerFooter>
    <oddFooter>&amp;LZautomatyzujemy.pl&amp;R&amp;N /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51719"/>
    <pageSetUpPr fitToPage="1"/>
  </sheetPr>
  <dimension ref="A1:D27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40.7109375" customWidth="1"/>
    <col min="3" max="3" width="45.7109375" customWidth="1"/>
    <col min="4" max="4" width="54.7109375" customWidth="1"/>
  </cols>
  <sheetData>
    <row r="1" spans="2:4" ht="30" customHeight="1">
      <c r="B1" s="1"/>
      <c r="C1" s="1"/>
      <c r="D1" s="1"/>
    </row>
    <row r="2" spans="2:4" ht="32" customHeight="1">
      <c r="B2" s="2" t="s">
        <v>112</v>
      </c>
      <c r="C2" s="1"/>
      <c r="D2" s="1"/>
    </row>
    <row r="3" spans="2:4" ht="46" customHeight="1">
      <c r="B3" s="3" t="s">
        <v>113</v>
      </c>
      <c r="C3" s="1"/>
      <c r="D3" s="1"/>
    </row>
    <row r="4" spans="2:4" ht="30" customHeight="1">
      <c r="B4" s="1"/>
      <c r="C4" s="1"/>
      <c r="D4" s="1"/>
    </row>
    <row r="5" spans="2:4" ht="62" customHeight="1">
      <c r="B5" s="1" t="s">
        <v>114</v>
      </c>
      <c r="C5" s="11"/>
      <c r="D5" s="4" t="s">
        <v>115</v>
      </c>
    </row>
    <row r="6" spans="2:4" ht="62" customHeight="1">
      <c r="B6" s="1" t="s">
        <v>116</v>
      </c>
      <c r="C6" s="11"/>
      <c r="D6" s="4" t="s">
        <v>117</v>
      </c>
    </row>
    <row r="7" spans="2:4" ht="62" customHeight="1">
      <c r="B7" s="1" t="s">
        <v>118</v>
      </c>
      <c r="C7" s="11"/>
      <c r="D7" s="4" t="s">
        <v>119</v>
      </c>
    </row>
    <row r="8" spans="2:4" ht="62" customHeight="1">
      <c r="B8" s="1" t="s">
        <v>120</v>
      </c>
      <c r="C8" s="11"/>
      <c r="D8" s="4" t="s">
        <v>121</v>
      </c>
    </row>
    <row r="9" spans="2:4" ht="62" customHeight="1">
      <c r="B9" s="1" t="s">
        <v>122</v>
      </c>
      <c r="C9" s="11"/>
      <c r="D9" s="4" t="s">
        <v>123</v>
      </c>
    </row>
    <row r="10" spans="2:4" ht="62" customHeight="1">
      <c r="B10" s="1" t="s">
        <v>124</v>
      </c>
      <c r="C10" s="11"/>
      <c r="D10" s="4" t="s">
        <v>125</v>
      </c>
    </row>
    <row r="11" spans="2:4" ht="62" customHeight="1">
      <c r="B11" s="1" t="s">
        <v>126</v>
      </c>
      <c r="C11" s="11"/>
      <c r="D11" s="4" t="s">
        <v>127</v>
      </c>
    </row>
    <row r="12" spans="2:4" ht="62" customHeight="1">
      <c r="B12" s="1" t="s">
        <v>128</v>
      </c>
      <c r="C12" s="11"/>
      <c r="D12" s="4" t="s">
        <v>129</v>
      </c>
    </row>
    <row r="13" spans="2:4" ht="62" customHeight="1">
      <c r="B13" s="1" t="s">
        <v>130</v>
      </c>
      <c r="C13" s="11"/>
      <c r="D13" s="4" t="s">
        <v>131</v>
      </c>
    </row>
    <row r="14" spans="2:4" ht="62" customHeight="1">
      <c r="B14" s="1" t="s">
        <v>132</v>
      </c>
      <c r="C14" s="11"/>
      <c r="D14" s="4" t="s">
        <v>133</v>
      </c>
    </row>
    <row r="15" spans="2:4" ht="62" customHeight="1">
      <c r="B15" s="1" t="s">
        <v>134</v>
      </c>
      <c r="C15" s="11"/>
      <c r="D15" s="4" t="s">
        <v>135</v>
      </c>
    </row>
    <row r="16" spans="2:4" ht="62" customHeight="1">
      <c r="B16" s="1" t="s">
        <v>136</v>
      </c>
      <c r="C16" s="11"/>
      <c r="D16" s="4" t="s">
        <v>137</v>
      </c>
    </row>
    <row r="17" spans="2:4" ht="62" customHeight="1">
      <c r="B17" s="1" t="s">
        <v>138</v>
      </c>
      <c r="C17" s="11"/>
      <c r="D17" s="4" t="s">
        <v>139</v>
      </c>
    </row>
    <row r="18" spans="2:4" ht="62" customHeight="1">
      <c r="B18" s="1" t="s">
        <v>140</v>
      </c>
      <c r="C18" s="11"/>
      <c r="D18" s="4" t="s">
        <v>141</v>
      </c>
    </row>
    <row r="19" spans="2:4" ht="62" customHeight="1">
      <c r="B19" s="1" t="s">
        <v>142</v>
      </c>
      <c r="C19" s="11"/>
      <c r="D19" s="4" t="s">
        <v>143</v>
      </c>
    </row>
    <row r="20" spans="2:4" ht="62" customHeight="1">
      <c r="B20" s="1" t="s">
        <v>109</v>
      </c>
      <c r="C20" s="11"/>
      <c r="D20" s="4" t="s">
        <v>144</v>
      </c>
    </row>
    <row r="21" spans="2:4" ht="30" customHeight="1">
      <c r="B21" s="1"/>
      <c r="C21" s="1"/>
      <c r="D21" s="1"/>
    </row>
    <row r="22" spans="2:4" ht="30" customHeight="1">
      <c r="B22" s="1"/>
      <c r="C22" s="1"/>
      <c r="D22" s="1"/>
    </row>
    <row r="23" spans="2:4" ht="30" customHeight="1">
      <c r="B23" s="1"/>
      <c r="C23" s="1"/>
      <c r="D23" s="1"/>
    </row>
    <row r="24" spans="2:4" ht="30" customHeight="1">
      <c r="B24" s="1"/>
      <c r="C24" s="1"/>
      <c r="D24" s="1"/>
    </row>
    <row r="25" spans="2:4" ht="30" customHeight="1">
      <c r="B25" s="1"/>
      <c r="C25" s="1"/>
      <c r="D25" s="1"/>
    </row>
    <row r="26" spans="2:4" ht="30" customHeight="1">
      <c r="B26" s="1"/>
      <c r="C26" s="1"/>
      <c r="D26" s="1"/>
    </row>
    <row r="27" spans="2:4" ht="30" customHeight="1">
      <c r="B27" s="1"/>
      <c r="C27" s="1"/>
      <c r="D27" s="1"/>
    </row>
  </sheetData>
  <pageMargins left="0.3" right="0.3" top="0.4" bottom="0.4" header="0.3" footer="0.3"/>
  <pageSetup paperSize="9" fitToHeight="0" orientation="landscape"/>
  <headerFooter>
    <oddFooter>&amp;LZautomatyzujemy.pl&amp;R&amp;N /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51719"/>
    <pageSetUpPr fitToPage="1"/>
  </sheetPr>
  <dimension ref="A1:E26"/>
  <sheetViews>
    <sheetView showGridLines="0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45.7109375" customWidth="1"/>
    <col min="3" max="3" width="20.7109375" customWidth="1"/>
    <col min="4" max="4" width="58.7109375" customWidth="1"/>
    <col min="5" max="5" width="24.7109375" customWidth="1"/>
  </cols>
  <sheetData>
    <row r="1" spans="2:5" ht="30" customHeight="1">
      <c r="B1" s="1"/>
      <c r="C1" s="1"/>
      <c r="D1" s="1"/>
    </row>
    <row r="2" spans="2:5" ht="32" customHeight="1">
      <c r="B2" s="2" t="s">
        <v>145</v>
      </c>
      <c r="C2" s="1"/>
      <c r="D2" s="1"/>
    </row>
    <row r="3" spans="2:5" ht="46" customHeight="1">
      <c r="B3" s="3" t="s">
        <v>146</v>
      </c>
      <c r="C3" s="1"/>
      <c r="D3" s="1"/>
    </row>
    <row r="4" spans="2:5" ht="30" customHeight="1">
      <c r="B4" s="5" t="s">
        <v>147</v>
      </c>
      <c r="C4" s="5" t="s">
        <v>148</v>
      </c>
      <c r="D4" s="5" t="s">
        <v>149</v>
      </c>
      <c r="E4" s="5" t="s">
        <v>150</v>
      </c>
    </row>
    <row r="5" spans="2:5" ht="46" customHeight="1">
      <c r="B5" s="1" t="s">
        <v>151</v>
      </c>
      <c r="C5" s="11"/>
      <c r="D5" s="11"/>
      <c r="E5" s="11"/>
    </row>
    <row r="6" spans="2:5" ht="46" customHeight="1">
      <c r="B6" s="1" t="s">
        <v>152</v>
      </c>
      <c r="C6" s="11"/>
      <c r="D6" s="11"/>
      <c r="E6" s="11"/>
    </row>
    <row r="7" spans="2:5" ht="46" customHeight="1">
      <c r="B7" s="1" t="s">
        <v>153</v>
      </c>
      <c r="C7" s="11"/>
      <c r="D7" s="11"/>
      <c r="E7" s="11"/>
    </row>
    <row r="8" spans="2:5" ht="46" customHeight="1">
      <c r="B8" s="1" t="s">
        <v>154</v>
      </c>
      <c r="C8" s="11"/>
      <c r="D8" s="11"/>
      <c r="E8" s="11"/>
    </row>
    <row r="9" spans="2:5" ht="46" customHeight="1">
      <c r="B9" s="1" t="s">
        <v>155</v>
      </c>
      <c r="C9" s="11"/>
      <c r="D9" s="11"/>
      <c r="E9" s="11"/>
    </row>
    <row r="10" spans="2:5" ht="46" customHeight="1">
      <c r="B10" s="1" t="s">
        <v>156</v>
      </c>
      <c r="C10" s="11"/>
      <c r="D10" s="11"/>
      <c r="E10" s="11"/>
    </row>
    <row r="11" spans="2:5" ht="46" customHeight="1">
      <c r="B11" s="1" t="s">
        <v>157</v>
      </c>
      <c r="C11" s="11"/>
      <c r="D11" s="11"/>
      <c r="E11" s="11"/>
    </row>
    <row r="12" spans="2:5" ht="46" customHeight="1">
      <c r="B12" s="1" t="s">
        <v>158</v>
      </c>
      <c r="C12" s="11"/>
      <c r="D12" s="11"/>
      <c r="E12" s="11"/>
    </row>
    <row r="13" spans="2:5" ht="46" customHeight="1">
      <c r="B13" s="1" t="s">
        <v>159</v>
      </c>
      <c r="C13" s="11"/>
      <c r="D13" s="11"/>
      <c r="E13" s="11"/>
    </row>
    <row r="14" spans="2:5" ht="46" customHeight="1">
      <c r="B14" s="1" t="s">
        <v>160</v>
      </c>
      <c r="C14" s="11"/>
      <c r="D14" s="11"/>
      <c r="E14" s="11"/>
    </row>
    <row r="15" spans="2:5" ht="46" customHeight="1">
      <c r="B15" s="1" t="s">
        <v>161</v>
      </c>
      <c r="C15" s="11"/>
      <c r="D15" s="11"/>
      <c r="E15" s="11"/>
    </row>
    <row r="16" spans="2:5" ht="46" customHeight="1">
      <c r="B16" s="1" t="s">
        <v>162</v>
      </c>
      <c r="C16" s="11"/>
      <c r="D16" s="11"/>
      <c r="E16" s="11"/>
    </row>
    <row r="17" spans="2:5" ht="46" customHeight="1">
      <c r="B17" s="1" t="s">
        <v>163</v>
      </c>
      <c r="C17" s="11"/>
      <c r="D17" s="11"/>
      <c r="E17" s="11"/>
    </row>
    <row r="18" spans="2:5" ht="46" customHeight="1">
      <c r="B18" s="1" t="s">
        <v>164</v>
      </c>
      <c r="C18" s="11"/>
      <c r="D18" s="11"/>
      <c r="E18" s="11"/>
    </row>
    <row r="19" spans="2:5" ht="30" customHeight="1">
      <c r="B19" s="1"/>
      <c r="C19" s="1"/>
      <c r="D19" s="1"/>
    </row>
    <row r="20" spans="2:5" ht="30" customHeight="1">
      <c r="B20" s="1" t="s">
        <v>165</v>
      </c>
      <c r="C20" s="11"/>
      <c r="D20" s="4"/>
    </row>
    <row r="21" spans="2:5" ht="30" customHeight="1">
      <c r="B21" s="1" t="s">
        <v>166</v>
      </c>
      <c r="C21" s="11"/>
      <c r="D21" s="4"/>
    </row>
    <row r="22" spans="2:5" ht="30" customHeight="1">
      <c r="B22" s="1" t="s">
        <v>167</v>
      </c>
      <c r="C22" s="11"/>
      <c r="D22" s="4"/>
    </row>
    <row r="23" spans="2:5" ht="64" customHeight="1">
      <c r="B23" s="1" t="s">
        <v>168</v>
      </c>
      <c r="C23" s="11"/>
      <c r="D23" s="4"/>
    </row>
    <row r="24" spans="2:5" ht="30" customHeight="1">
      <c r="B24" s="1"/>
      <c r="C24" s="1"/>
      <c r="D24" s="1"/>
    </row>
    <row r="25" spans="2:5" ht="30" customHeight="1">
      <c r="B25" s="1"/>
      <c r="C25" s="1"/>
      <c r="D25" s="1"/>
    </row>
    <row r="26" spans="2:5" ht="30" customHeight="1">
      <c r="B26" s="1"/>
      <c r="C26" s="1"/>
      <c r="D26" s="1"/>
    </row>
  </sheetData>
  <conditionalFormatting sqref="C5:C18">
    <cfRule type="containsText" dxfId="0" priority="1" operator="containsText" text="Niespełnione">
      <formula>NOT(ISERROR(SEARCH("Niespełnione",C5)))</formula>
    </cfRule>
  </conditionalFormatting>
  <dataValidations count="2">
    <dataValidation type="list" allowBlank="1" showInputMessage="1" showErrorMessage="1" sqref="C5:C18">
      <formula1>"Do sprawdzenia,Spełnione,Niespełnione,Nie dotyczy"</formula1>
    </dataValidation>
    <dataValidation type="list" allowBlank="1" showInputMessage="1" showErrorMessage="1" sqref="C20">
      <formula1>"Przyjęte,Przyjęte warunkowo,Nieprzyjęte"</formula1>
    </dataValidation>
  </dataValidations>
  <pageMargins left="0.3" right="0.3" top="0.4" bottom="0.4" header="0.3" footer="0.3"/>
  <pageSetup paperSize="9" fitToHeight="0" orientation="landscape"/>
  <headerFooter>
    <oddFooter>&amp;LZautomatyzujemy.pl&amp;R&amp;N /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START</vt:lpstr>
      <vt:lpstr>Kalkulator korzyści</vt:lpstr>
      <vt:lpstr>Wycena</vt:lpstr>
      <vt:lpstr>Lejek CRM</vt:lpstr>
      <vt:lpstr>Discovery</vt:lpstr>
      <vt:lpstr>Odbiór</vt:lpstr>
      <vt:lpstr>Discovery!Print_Area</vt:lpstr>
      <vt:lpstr>'Kalkulator korzyści'!Print_Area</vt:lpstr>
      <vt:lpstr>'Lejek CRM'!Print_Area</vt:lpstr>
      <vt:lpstr>Odbiór!Print_Area</vt:lpstr>
      <vt:lpstr>START!Print_Area</vt:lpstr>
      <vt:lpstr>Wycena!Print_Area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Narzędzia sprzedaży Zautomatyzujemy.pl</dc:title>
  <dc:creator>Zautomatyzujemy.pl</dc:creator>
  <cp:lastModifiedBy>Zautomatyzujemy.pl</cp:lastModifiedBy>
  <dcterms:created xsi:type="dcterms:W3CDTF">2026-09-09T17:29:25Z</dcterms:created>
  <dcterms:modified xsi:type="dcterms:W3CDTF">2026-09-09T17:29:25Z</dcterms:modified>
</cp:coreProperties>
</file>